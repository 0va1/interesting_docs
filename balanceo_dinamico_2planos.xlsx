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3605\Documents\Arduino\"/>
    </mc:Choice>
  </mc:AlternateContent>
  <xr:revisionPtr revIDLastSave="0" documentId="13_ncr:1_{56384224-43BE-4D2E-AC3C-8EC8EBABFB52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Balanceo_2_Pla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0" i="1" l="1"/>
  <c r="I20" i="1"/>
  <c r="O15" i="1"/>
  <c r="N15" i="1"/>
  <c r="M15" i="1"/>
  <c r="L15" i="1"/>
  <c r="I16" i="1"/>
  <c r="G16" i="1"/>
  <c r="C16" i="1" l="1"/>
  <c r="C24" i="1" s="1"/>
  <c r="N16" i="1"/>
  <c r="D16" i="1"/>
  <c r="C25" i="1" s="1"/>
  <c r="L16" i="1"/>
  <c r="C26" i="1" s="1"/>
  <c r="C27" i="1" l="1"/>
  <c r="C31" i="1" s="1"/>
  <c r="C34" i="1" s="1"/>
  <c r="C42" i="1" s="1"/>
  <c r="C41" i="1" l="1"/>
  <c r="C33" i="1"/>
  <c r="C37" i="1" l="1"/>
  <c r="C38" i="1"/>
</calcChain>
</file>

<file path=xl/sharedStrings.xml><?xml version="1.0" encoding="utf-8"?>
<sst xmlns="http://schemas.openxmlformats.org/spreadsheetml/2006/main" count="37" uniqueCount="35">
  <si>
    <t>MEDICIÓN BASE (mín 10 datos)</t>
  </si>
  <si>
    <t>MASA PRUEBA PLANO A</t>
  </si>
  <si>
    <t>MASA PRUEBA PLANO B</t>
  </si>
  <si>
    <t>IA0</t>
  </si>
  <si>
    <t>QA0</t>
  </si>
  <si>
    <t>IB0</t>
  </si>
  <si>
    <t>QB0</t>
  </si>
  <si>
    <t>IA1</t>
  </si>
  <si>
    <t>QA1</t>
  </si>
  <si>
    <t>IB1</t>
  </si>
  <si>
    <t>QB1</t>
  </si>
  <si>
    <t>IA2</t>
  </si>
  <si>
    <t>QA2</t>
  </si>
  <si>
    <t>IB2</t>
  </si>
  <si>
    <t>QB2</t>
  </si>
  <si>
    <t>VA0_complex</t>
  </si>
  <si>
    <t>mA (g)</t>
  </si>
  <si>
    <t>mB (g)</t>
  </si>
  <si>
    <t>thetaA (deg)</t>
  </si>
  <si>
    <t>thetaB (deg)</t>
  </si>
  <si>
    <t>MA_complex</t>
  </si>
  <si>
    <t>MB_complex</t>
  </si>
  <si>
    <t>COEFICIENTES DE INFLUENCIA</t>
  </si>
  <si>
    <t>alpha_AA</t>
  </si>
  <si>
    <t>alpha_BA</t>
  </si>
  <si>
    <t>alpha_AB</t>
  </si>
  <si>
    <t>alpha_BB</t>
  </si>
  <si>
    <t>MASAS CORRECTORAS</t>
  </si>
  <si>
    <t>det(A)</t>
  </si>
  <si>
    <t>MA_corr_complex</t>
  </si>
  <si>
    <t>MB_corr_complex</t>
  </si>
  <si>
    <t>RESULTADO PLANO A</t>
  </si>
  <si>
    <t>Magnitud (g)</t>
  </si>
  <si>
    <t>Ángulo (deg)</t>
  </si>
  <si>
    <t>RESULTADO PLANO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</si>
</sst>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00"/>
  </numFmts>
  <fonts count="9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1"/>
      <name val="Calibri"/>
      <family val="2"/>
      <scheme val="minor"/>
    </font>
    <font>
      <sz val="10"/>
      <color rgb="FF4E5B61"/>
      <name val="Arial Unicode MS"/>
    </font>
    <font>
      <b/>
      <sz val="14"/>
      <name val="Calibri"/>
      <family val="2"/>
    </font>
    <font>
      <sz val="14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4" borderId="0" xfId="0" applyFill="1"/>
    <xf numFmtId="0" fontId="0" fillId="5" borderId="0" xfId="0" applyFill="1"/>
    <xf numFmtId="0" fontId="3" fillId="0" borderId="0" xfId="0" applyFont="1" applyAlignment="1">
      <alignment vertical="center"/>
    </xf>
    <xf numFmtId="0" fontId="0" fillId="4" borderId="4" xfId="0" applyFill="1" applyBorder="1" applyAlignment="1">
      <alignment horizontal="right"/>
    </xf>
    <xf numFmtId="0" fontId="0" fillId="0" borderId="0" xfId="0"/>
    <xf numFmtId="0" fontId="1" fillId="2" borderId="4" xfId="0" applyFont="1" applyFill="1" applyBorder="1"/>
    <xf numFmtId="0" fontId="0" fillId="2" borderId="0" xfId="0" applyFill="1"/>
    <xf numFmtId="0" fontId="2" fillId="2" borderId="2" xfId="0" applyFont="1" applyFill="1" applyBorder="1"/>
    <xf numFmtId="0" fontId="2" fillId="2" borderId="3" xfId="0" applyFont="1" applyFill="1" applyBorder="1"/>
    <xf numFmtId="0" fontId="1" fillId="2" borderId="1" xfId="0" applyFont="1" applyFill="1" applyBorder="1"/>
    <xf numFmtId="0" fontId="0" fillId="2" borderId="1" xfId="0" applyFill="1" applyBorder="1"/>
    <xf numFmtId="0" fontId="0" fillId="0" borderId="3" xfId="0" applyBorder="1"/>
    <xf numFmtId="0" fontId="1" fillId="2" borderId="2" xfId="0" applyFont="1" applyFill="1" applyBorder="1"/>
    <xf numFmtId="2" fontId="0" fillId="4" borderId="2" xfId="0" applyNumberFormat="1" applyFill="1" applyBorder="1"/>
    <xf numFmtId="0" fontId="0" fillId="4" borderId="4" xfId="0" applyFill="1" applyBorder="1"/>
    <xf numFmtId="0" fontId="6" fillId="2" borderId="2" xfId="0" applyFont="1" applyFill="1" applyBorder="1"/>
    <xf numFmtId="0" fontId="7" fillId="2" borderId="3" xfId="0" applyFont="1" applyFill="1" applyBorder="1"/>
    <xf numFmtId="0" fontId="8" fillId="2" borderId="1" xfId="0" applyFont="1" applyFill="1" applyBorder="1"/>
    <xf numFmtId="164" fontId="7" fillId="4" borderId="1" xfId="0" applyNumberFormat="1" applyFont="1" applyFill="1" applyBorder="1"/>
    <xf numFmtId="1" fontId="7" fillId="4" borderId="1" xfId="0" applyNumberFormat="1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7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A15DD77A-6AE1-4B79-89DC-53567900C0B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42"/>
  <sheetViews>
    <sheetView tabSelected="1" topLeftCell="A2" zoomScale="130" zoomScaleNormal="130" workbookViewId="0">
      <selection activeCell="I41" sqref="I41"/>
    </sheetView>
  </sheetViews>
  <sheetFormatPr baseColWidth="10" defaultColWidth="8.88671875" defaultRowHeight="14.4"/>
  <cols>
    <col min="1" max="1" width="4.6640625" customWidth="1"/>
    <col min="2" max="2" width="18.44140625" customWidth="1"/>
    <col min="3" max="3" width="19.6640625" customWidth="1"/>
    <col min="4" max="4" width="20.6640625" customWidth="1"/>
    <col min="5" max="5" width="22.21875" customWidth="1"/>
    <col min="6" max="6" width="4.33203125" customWidth="1"/>
    <col min="7" max="7" width="17.5546875" customWidth="1"/>
    <col min="8" max="8" width="18.88671875" customWidth="1"/>
    <col min="9" max="9" width="18.6640625" customWidth="1"/>
    <col min="10" max="10" width="21.6640625" customWidth="1"/>
    <col min="11" max="11" width="4" customWidth="1"/>
    <col min="12" max="12" width="18.21875" customWidth="1"/>
    <col min="13" max="14" width="18.77734375" customWidth="1"/>
    <col min="15" max="15" width="20.109375" customWidth="1"/>
  </cols>
  <sheetData>
    <row r="2" spans="2:15" ht="9.6" customHeight="1"/>
    <row r="3" spans="2:15" ht="18">
      <c r="B3" s="26" t="s">
        <v>0</v>
      </c>
      <c r="C3" s="27"/>
      <c r="D3" s="27"/>
      <c r="E3" s="27"/>
      <c r="F3" s="30"/>
      <c r="G3" s="26" t="s">
        <v>1</v>
      </c>
      <c r="H3" s="27"/>
      <c r="I3" s="27"/>
      <c r="J3" s="27"/>
      <c r="K3" s="30"/>
      <c r="L3" s="26" t="s">
        <v>2</v>
      </c>
      <c r="M3" s="27"/>
      <c r="N3" s="27"/>
      <c r="O3" s="27"/>
    </row>
    <row r="4" spans="2:15">
      <c r="B4" s="2" t="s">
        <v>3</v>
      </c>
      <c r="C4" s="2" t="s">
        <v>4</v>
      </c>
      <c r="D4" s="2" t="s">
        <v>5</v>
      </c>
      <c r="E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</row>
    <row r="5" spans="2:15">
      <c r="B5" s="4">
        <v>-46.57</v>
      </c>
      <c r="C5" s="4">
        <v>27.29</v>
      </c>
      <c r="D5" s="4">
        <v>-51.12</v>
      </c>
      <c r="E5" s="4">
        <v>-2.06</v>
      </c>
      <c r="G5" s="4">
        <v>607.42999999999995</v>
      </c>
      <c r="H5" s="4">
        <v>21.53</v>
      </c>
      <c r="I5" s="4">
        <v>107.97</v>
      </c>
      <c r="J5" s="4">
        <v>-89.18</v>
      </c>
      <c r="L5" s="4">
        <v>-265.26</v>
      </c>
      <c r="M5" s="4">
        <v>53.18</v>
      </c>
      <c r="N5" s="4">
        <v>-546.24</v>
      </c>
      <c r="O5" s="4">
        <v>234.41</v>
      </c>
    </row>
    <row r="6" spans="2:15">
      <c r="B6" s="4">
        <v>-45.28</v>
      </c>
      <c r="C6" s="4">
        <v>23.38</v>
      </c>
      <c r="D6" s="4">
        <v>-52.21</v>
      </c>
      <c r="E6" s="4">
        <v>1.05</v>
      </c>
      <c r="G6" s="4">
        <v>591.54</v>
      </c>
      <c r="H6" s="4">
        <v>22.58</v>
      </c>
      <c r="I6" s="4">
        <v>91.17</v>
      </c>
      <c r="J6" s="4">
        <v>-92.05</v>
      </c>
      <c r="L6" s="4">
        <v>-200.62</v>
      </c>
      <c r="M6" s="4">
        <v>60.39</v>
      </c>
      <c r="N6" s="4">
        <v>-513.5</v>
      </c>
      <c r="O6" s="4">
        <v>229.5</v>
      </c>
    </row>
    <row r="7" spans="2:15">
      <c r="B7" s="4">
        <v>-44.43</v>
      </c>
      <c r="C7" s="4">
        <v>29.57</v>
      </c>
      <c r="D7" s="4">
        <v>-40.39</v>
      </c>
      <c r="E7" s="4">
        <v>3.5</v>
      </c>
      <c r="G7" s="4">
        <v>585.05999999999995</v>
      </c>
      <c r="H7" s="4">
        <v>26.81</v>
      </c>
      <c r="I7" s="4">
        <v>76.39</v>
      </c>
      <c r="J7" s="4">
        <v>-91.14</v>
      </c>
      <c r="L7" s="4">
        <v>-199.99</v>
      </c>
      <c r="M7" s="4">
        <v>64.209999999999994</v>
      </c>
      <c r="N7" s="4">
        <v>-507.23</v>
      </c>
      <c r="O7" s="4">
        <v>234.11</v>
      </c>
    </row>
    <row r="8" spans="2:15">
      <c r="B8" s="4">
        <v>-47.13</v>
      </c>
      <c r="C8" s="4">
        <v>26.4</v>
      </c>
      <c r="D8" s="4">
        <v>-48.3</v>
      </c>
      <c r="E8" s="4">
        <v>6.48</v>
      </c>
      <c r="G8" s="4">
        <v>567.97</v>
      </c>
      <c r="H8" s="4">
        <v>26.84</v>
      </c>
      <c r="I8" s="4">
        <v>65.38</v>
      </c>
      <c r="J8" s="4">
        <v>-88.78</v>
      </c>
      <c r="L8" s="4">
        <v>-193.94</v>
      </c>
      <c r="M8" s="4">
        <v>60.34</v>
      </c>
      <c r="N8" s="4">
        <v>-503.33</v>
      </c>
      <c r="O8" s="4">
        <v>238.1</v>
      </c>
    </row>
    <row r="9" spans="2:15">
      <c r="B9" s="4">
        <v>-50.91</v>
      </c>
      <c r="C9" s="4">
        <v>23.93</v>
      </c>
      <c r="D9" s="4">
        <v>-45.71</v>
      </c>
      <c r="E9" s="4">
        <v>2.23</v>
      </c>
      <c r="G9" s="4">
        <v>555.07000000000005</v>
      </c>
      <c r="H9" s="4">
        <v>24.96</v>
      </c>
      <c r="I9" s="4">
        <v>49.57</v>
      </c>
      <c r="J9" s="4">
        <v>-89.58</v>
      </c>
      <c r="L9" s="4">
        <v>-201.49</v>
      </c>
      <c r="M9" s="4">
        <v>59.72</v>
      </c>
      <c r="N9" s="4">
        <v>-511.61</v>
      </c>
      <c r="O9" s="4">
        <v>236.8</v>
      </c>
    </row>
    <row r="10" spans="2:15">
      <c r="B10" s="4">
        <v>-48.14</v>
      </c>
      <c r="C10" s="4">
        <v>23.35</v>
      </c>
      <c r="D10" s="4">
        <v>-45.02</v>
      </c>
      <c r="E10" s="4">
        <v>-2.5</v>
      </c>
      <c r="G10" s="4">
        <v>553.26</v>
      </c>
      <c r="H10" s="4">
        <v>21.18</v>
      </c>
      <c r="I10" s="4">
        <v>49.29</v>
      </c>
      <c r="J10" s="4">
        <v>-95.7</v>
      </c>
      <c r="L10" s="4"/>
      <c r="M10" s="4"/>
      <c r="N10" s="4"/>
      <c r="O10" s="4"/>
    </row>
    <row r="11" spans="2:15">
      <c r="B11" s="4">
        <v>-43.71</v>
      </c>
      <c r="C11" s="4">
        <v>23.77</v>
      </c>
      <c r="D11" s="4">
        <v>-42.99</v>
      </c>
      <c r="E11" s="4">
        <v>-3.22</v>
      </c>
      <c r="G11" s="4">
        <v>554.55999999999995</v>
      </c>
      <c r="H11" s="4">
        <v>15.87</v>
      </c>
      <c r="I11" s="4">
        <v>42.2</v>
      </c>
      <c r="J11" s="4">
        <v>-91.91</v>
      </c>
      <c r="L11" s="4"/>
      <c r="M11" s="4"/>
      <c r="N11" s="4"/>
      <c r="O11" s="4"/>
    </row>
    <row r="12" spans="2:15">
      <c r="B12" s="4">
        <v>-48.99</v>
      </c>
      <c r="C12" s="4">
        <v>24.89</v>
      </c>
      <c r="D12" s="4">
        <v>-44.59</v>
      </c>
      <c r="E12" s="4">
        <v>4.0199999999999996</v>
      </c>
      <c r="G12" s="4">
        <v>563.85</v>
      </c>
      <c r="H12" s="4">
        <v>28.71</v>
      </c>
      <c r="I12" s="4">
        <v>55.79</v>
      </c>
      <c r="J12" s="4">
        <v>-87.48</v>
      </c>
      <c r="L12" s="4"/>
      <c r="M12" s="4"/>
      <c r="N12" s="4"/>
      <c r="O12" s="4"/>
    </row>
    <row r="13" spans="2:15">
      <c r="B13" s="4">
        <v>-46.5</v>
      </c>
      <c r="C13" s="4">
        <v>23.21</v>
      </c>
      <c r="D13" s="4">
        <v>-47.91</v>
      </c>
      <c r="E13" s="4">
        <v>1.06</v>
      </c>
      <c r="G13" s="4">
        <v>595.61</v>
      </c>
      <c r="H13" s="4">
        <v>27.08</v>
      </c>
      <c r="I13" s="4">
        <v>87.08</v>
      </c>
      <c r="J13" s="4">
        <v>-90.1</v>
      </c>
      <c r="L13" s="4"/>
      <c r="M13" s="4"/>
      <c r="N13" s="4"/>
      <c r="O13" s="4"/>
    </row>
    <row r="14" spans="2:15">
      <c r="B14" s="4">
        <v>-45.31</v>
      </c>
      <c r="C14" s="4">
        <v>20.54</v>
      </c>
      <c r="D14" s="4">
        <v>-55.75</v>
      </c>
      <c r="E14" s="4">
        <v>-2.15</v>
      </c>
      <c r="G14" s="4">
        <v>594.24</v>
      </c>
      <c r="H14" s="4">
        <v>15.9</v>
      </c>
      <c r="I14" s="4">
        <v>93.22</v>
      </c>
      <c r="J14" s="4">
        <v>-89.45</v>
      </c>
      <c r="L14" s="4"/>
      <c r="M14" s="4"/>
      <c r="N14" s="4"/>
      <c r="O14" s="4"/>
    </row>
    <row r="15" spans="2:15">
      <c r="B15" s="5">
        <v>-47.24</v>
      </c>
      <c r="C15" s="5">
        <v>22.74</v>
      </c>
      <c r="D15" s="5">
        <v>-46.3</v>
      </c>
      <c r="E15" s="5">
        <v>-0.52</v>
      </c>
      <c r="G15" s="5">
        <v>589.57000000000005</v>
      </c>
      <c r="H15" s="5">
        <v>20.8</v>
      </c>
      <c r="I15" s="5">
        <v>79.42</v>
      </c>
      <c r="J15" s="5">
        <v>-101.68</v>
      </c>
      <c r="L15" s="5">
        <f>AVERAGE(L5:L14)</f>
        <v>-212.26</v>
      </c>
      <c r="M15" s="5">
        <f>AVERAGE(M5:M14)</f>
        <v>59.567999999999998</v>
      </c>
      <c r="N15" s="5">
        <f>AVERAGE(N5:N14)</f>
        <v>-516.38200000000006</v>
      </c>
      <c r="O15" s="5">
        <f>AVERAGE(O5:O14)</f>
        <v>234.584</v>
      </c>
    </row>
    <row r="16" spans="2:15">
      <c r="B16" s="2" t="s">
        <v>15</v>
      </c>
      <c r="C16" s="5" t="str">
        <f>COMPLEX(B15,C15)</f>
        <v>-47.24+22.74i</v>
      </c>
      <c r="D16" s="5" t="str">
        <f>COMPLEX(D15,E15)</f>
        <v>-46.3-0.52i</v>
      </c>
      <c r="E16" s="1"/>
      <c r="G16" s="5" t="str">
        <f>COMPLEX(G15,H15)</f>
        <v>589.57+20.8i</v>
      </c>
      <c r="H16" s="1"/>
      <c r="I16" s="5" t="str">
        <f>COMPLEX(I15,J15)</f>
        <v>79.42-101.68i</v>
      </c>
      <c r="J16" s="1"/>
      <c r="L16" s="6" t="str">
        <f>COMPLEX(L15,M15)</f>
        <v>-212.26+59.568i</v>
      </c>
      <c r="M16" s="7"/>
      <c r="N16" s="6" t="str">
        <f>COMPLEX(N15,O15)</f>
        <v>-516.382+234.584i</v>
      </c>
      <c r="O16" s="7"/>
    </row>
    <row r="17" spans="2:15" ht="11.4" customHeight="1"/>
    <row r="18" spans="2:15" ht="18">
      <c r="G18" s="13" t="s">
        <v>16</v>
      </c>
      <c r="H18" s="14"/>
      <c r="I18" s="4">
        <v>4.2000000000000003E-2</v>
      </c>
      <c r="L18" s="13" t="s">
        <v>17</v>
      </c>
      <c r="M18" s="14"/>
      <c r="N18" s="4">
        <v>3.9E-2</v>
      </c>
    </row>
    <row r="19" spans="2:15" ht="18">
      <c r="G19" s="13" t="s">
        <v>18</v>
      </c>
      <c r="H19" s="17"/>
      <c r="I19" s="4">
        <v>0</v>
      </c>
      <c r="L19" s="13" t="s">
        <v>19</v>
      </c>
      <c r="M19" s="17"/>
      <c r="N19" s="4">
        <v>0</v>
      </c>
    </row>
    <row r="20" spans="2:15">
      <c r="G20" s="18" t="s">
        <v>20</v>
      </c>
      <c r="H20" s="17"/>
      <c r="I20" s="19" t="str">
        <f>COMPLEX(I18*COS(RADIANS(I19)),I18*SIN(RADIANS(I19)))</f>
        <v>0.042</v>
      </c>
      <c r="J20" s="17"/>
      <c r="L20" s="18" t="s">
        <v>21</v>
      </c>
      <c r="M20" s="17"/>
      <c r="N20" s="20" t="str">
        <f>COMPLEX(N18*COS(RADIANS(N19)),N18*SIN(RADIANS(N19)))</f>
        <v>0.039</v>
      </c>
      <c r="O20" s="10"/>
    </row>
    <row r="21" spans="2:15" ht="10.8" customHeight="1"/>
    <row r="22" spans="2:15">
      <c r="B22" s="15" t="s">
        <v>22</v>
      </c>
      <c r="C22" s="16"/>
      <c r="D22" s="16"/>
    </row>
    <row r="24" spans="2:15">
      <c r="B24" s="3" t="s">
        <v>23</v>
      </c>
      <c r="C24" s="9" t="str">
        <f>IMDIV(IMSUB(G16,C16),I20)</f>
        <v>15162.1428571429-46.1904761904762i</v>
      </c>
      <c r="D24" s="10"/>
    </row>
    <row r="25" spans="2:15">
      <c r="B25" s="3" t="s">
        <v>24</v>
      </c>
      <c r="C25" s="9" t="str">
        <f>IMDIV(IMSUB(I16,D16),I20)</f>
        <v>2993.33333333333-2408.57142857143i</v>
      </c>
      <c r="D25" s="10"/>
    </row>
    <row r="26" spans="2:15">
      <c r="B26" s="3" t="s">
        <v>25</v>
      </c>
      <c r="C26" s="9" t="str">
        <f>IMDIV(IMSUB(L16,C16),N20)</f>
        <v>-4231.28205128205+944.307692307692i</v>
      </c>
      <c r="D26" s="10"/>
      <c r="G26" s="8"/>
    </row>
    <row r="27" spans="2:15">
      <c r="B27" s="3" t="s">
        <v>26</v>
      </c>
      <c r="C27" s="9" t="str">
        <f>IMDIV(IMSUB(N16,D16),N20)</f>
        <v>-12053.3846153846+6028.30769230769i</v>
      </c>
      <c r="D27" s="10"/>
      <c r="G27" s="8"/>
    </row>
    <row r="28" spans="2:15">
      <c r="G28" s="8"/>
    </row>
    <row r="29" spans="2:15">
      <c r="B29" s="11" t="s">
        <v>27</v>
      </c>
      <c r="C29" s="12"/>
      <c r="D29" s="10"/>
      <c r="G29" s="8"/>
    </row>
    <row r="30" spans="2:15">
      <c r="G30" s="8"/>
    </row>
    <row r="31" spans="2:15">
      <c r="B31" s="3" t="s">
        <v>28</v>
      </c>
      <c r="C31" s="9" t="str">
        <f>IMSUB(IMPRODUCT(C24,C27),IMPRODUCT(C26,C25))</f>
        <v>-172085483.968254+78940841.2454215i</v>
      </c>
      <c r="D31" s="10"/>
      <c r="G31" s="8"/>
    </row>
    <row r="32" spans="2:15">
      <c r="G32" s="8"/>
    </row>
    <row r="33" spans="2:7">
      <c r="B33" s="3" t="s">
        <v>29</v>
      </c>
      <c r="C33" s="9" t="str">
        <f>IMDIV(IMSUB(IMPRODUCT(C26,D16),IMPRODUCT(C27,C16)),C31)</f>
        <v>0.00227195102001554-0.00196414194543693i</v>
      </c>
      <c r="D33" s="10"/>
      <c r="G33" s="8"/>
    </row>
    <row r="34" spans="2:7">
      <c r="B34" s="3" t="s">
        <v>30</v>
      </c>
      <c r="C34" s="9" t="str">
        <f>IMDIV(IMSUB(IMPRODUCT(C25,C16),IMPRODUCT(C24,D16)),C31)</f>
        <v>-0.00254126986254041-0.00225588458336207i</v>
      </c>
      <c r="D34" s="10"/>
      <c r="G34" s="8"/>
    </row>
    <row r="36" spans="2:7" ht="15.6">
      <c r="B36" s="21" t="s">
        <v>31</v>
      </c>
      <c r="C36" s="22"/>
    </row>
    <row r="37" spans="2:7" ht="15.6">
      <c r="B37" s="23" t="s">
        <v>32</v>
      </c>
      <c r="C37" s="24">
        <f>IMABS(C33)</f>
        <v>3.0032673905555627E-3</v>
      </c>
    </row>
    <row r="38" spans="2:7" ht="15.6">
      <c r="B38" s="23" t="s">
        <v>33</v>
      </c>
      <c r="C38" s="25">
        <f>DEGREES(IMARGUMENT(C33))</f>
        <v>-40.843995993614321</v>
      </c>
    </row>
    <row r="40" spans="2:7" ht="15.6">
      <c r="B40" s="28" t="s">
        <v>34</v>
      </c>
      <c r="C40" s="29"/>
    </row>
    <row r="41" spans="2:7" ht="15.6">
      <c r="B41" s="23" t="s">
        <v>32</v>
      </c>
      <c r="C41" s="24">
        <f>IMABS(C34)</f>
        <v>3.3980976689475559E-3</v>
      </c>
    </row>
    <row r="42" spans="2:7" ht="15.6">
      <c r="B42" s="23" t="s">
        <v>33</v>
      </c>
      <c r="C42" s="25">
        <f>DEGREES(IMARGUMENT(C34))</f>
        <v>-138.40454392955903</v>
      </c>
    </row>
  </sheetData>
  <mergeCells count="22">
    <mergeCell ref="B40:C40"/>
    <mergeCell ref="C26:D26"/>
    <mergeCell ref="C31:D31"/>
    <mergeCell ref="C33:D33"/>
    <mergeCell ref="C34:D34"/>
    <mergeCell ref="B36:C36"/>
    <mergeCell ref="C27:D27"/>
    <mergeCell ref="B29:D29"/>
    <mergeCell ref="B3:E3"/>
    <mergeCell ref="G3:J3"/>
    <mergeCell ref="L3:O3"/>
    <mergeCell ref="G18:H18"/>
    <mergeCell ref="L18:M18"/>
    <mergeCell ref="B22:D22"/>
    <mergeCell ref="G19:H19"/>
    <mergeCell ref="G20:H20"/>
    <mergeCell ref="L19:M19"/>
    <mergeCell ref="L20:M20"/>
    <mergeCell ref="I20:J20"/>
    <mergeCell ref="N20:O20"/>
    <mergeCell ref="C24:D24"/>
    <mergeCell ref="C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Balanceo_2_Planos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alfonso martinez</cp:lastModifiedBy>
  <dcterms:created xsi:type="dcterms:W3CDTF">2026-02-17T10:13:03Z</dcterms:created>
  <dcterms:modified xsi:type="dcterms:W3CDTF">2026-02-23T12:46:40Z</dcterms:modified>
</cp:coreProperties>
</file>